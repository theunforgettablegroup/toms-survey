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ml.chartshape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harts/_rels/chart2.xml.rels" ContentType="application/vnd.openxmlformats-package.relationships+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naire" sheetId="1" state="visible" r:id="rId2"/>
    <sheet name="Medical Manager"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<sst xmlns="http://schemas.openxmlformats.org/spreadsheetml/2006/main" count="187" uniqueCount="136">
  <si>
    <t xml:space="preserve">Tool to Evaluate Best Type Medical Health Plan - Original Medicare + MediGap + Drug Plan OR Medicare Advantage</t>
  </si>
  <si>
    <t xml:space="preserve">(for individuals 65 and above)</t>
  </si>
  <si>
    <t xml:space="preserve">Name</t>
  </si>
  <si>
    <t xml:space="preserve">County of residence</t>
  </si>
  <si>
    <t xml:space="preserve">Washington</t>
  </si>
  <si>
    <t xml:space="preserve">Residence Zip Code</t>
  </si>
  <si>
    <t xml:space="preserve">Impact on recommendation:</t>
  </si>
  <si>
    <t xml:space="preserve">weight</t>
  </si>
  <si>
    <t xml:space="preserve">Is this your first time enrolling in Medicare?</t>
  </si>
  <si>
    <t xml:space="preserve">Yes</t>
  </si>
  <si>
    <t xml:space="preserve">Lower numbers lead to Medicare</t>
  </si>
  <si>
    <t xml:space="preserve">% of ttl</t>
  </si>
  <si>
    <t xml:space="preserve">Circle Your Answers (these are the pull-down options)</t>
  </si>
  <si>
    <t xml:space="preserve">Look-up table</t>
  </si>
  <si>
    <t xml:space="preserve">User</t>
  </si>
  <si>
    <t xml:space="preserve">Weighed</t>
  </si>
  <si>
    <t xml:space="preserve">Rank</t>
  </si>
  <si>
    <t xml:space="preserve">User Inputs</t>
  </si>
  <si>
    <t xml:space="preserve">Score</t>
  </si>
  <si>
    <t xml:space="preserve">Weight</t>
  </si>
  <si>
    <t xml:space="preserve">Top</t>
  </si>
  <si>
    <t xml:space="preserve">What is your Age?</t>
  </si>
  <si>
    <t xml:space="preserve">65-69</t>
  </si>
  <si>
    <t xml:space="preserve">70-79</t>
  </si>
  <si>
    <t xml:space="preserve">80-89</t>
  </si>
  <si>
    <t xml:space="preserve">90-over</t>
  </si>
  <si>
    <t xml:space="preserve">N/A</t>
  </si>
  <si>
    <t xml:space="preserve">OVERRIDE.  If 80+ then max 45, if 90+ then max 30</t>
  </si>
  <si>
    <t xml:space="preserve">Health Status:</t>
  </si>
  <si>
    <t xml:space="preserve">How is your General Health?</t>
  </si>
  <si>
    <t xml:space="preserve">Excellent</t>
  </si>
  <si>
    <t xml:space="preserve">Good</t>
  </si>
  <si>
    <t xml:space="preserve">Fair</t>
  </si>
  <si>
    <t xml:space="preserve">Poor</t>
  </si>
  <si>
    <t xml:space="preserve">Do you have Chronic Health Conditions?</t>
  </si>
  <si>
    <t xml:space="preserve">None</t>
  </si>
  <si>
    <t xml:space="preserve">Minor</t>
  </si>
  <si>
    <t xml:space="preserve">Major</t>
  </si>
  <si>
    <t xml:space="preserve">TOP</t>
  </si>
  <si>
    <t xml:space="preserve">Do you have or have you had Cancer?</t>
  </si>
  <si>
    <t xml:space="preserve">Never</t>
  </si>
  <si>
    <t xml:space="preserve">Minor-removed</t>
  </si>
  <si>
    <t xml:space="preserve">Minor-still</t>
  </si>
  <si>
    <t xml:space="preserve">Major-removed</t>
  </si>
  <si>
    <t xml:space="preserve">Major-still have it</t>
  </si>
  <si>
    <t xml:space="preserve">MUST FIX  WANT TO MAKE THIS ONE OVERRIDE OTHER SCORES. If they answer 5, change the final answer to 10 no matter what. If 4, drop the answer in half.</t>
  </si>
  <si>
    <t xml:space="preserve">NEW</t>
  </si>
  <si>
    <t xml:space="preserve">Is there a history of serious medical issues in your biological family?</t>
  </si>
  <si>
    <t xml:space="preserve">None/Don't Know</t>
  </si>
  <si>
    <r>
      <rPr>
        <sz val="12"/>
        <rFont val="Calibri"/>
        <family val="2"/>
        <charset val="1"/>
      </rPr>
      <t xml:space="preserve">Do you need Durable Medical </t>
    </r>
    <r>
      <rPr>
        <b val="true"/>
        <sz val="12"/>
        <rFont val="Calibri"/>
        <family val="2"/>
        <charset val="1"/>
      </rPr>
      <t xml:space="preserve">Equipment</t>
    </r>
    <r>
      <rPr>
        <sz val="12"/>
        <rFont val="Calibri"/>
        <family val="2"/>
        <charset val="1"/>
      </rPr>
      <t xml:space="preserve">? (such as wheelchair, oxygen, C-Pap)</t>
    </r>
  </si>
  <si>
    <t xml:space="preserve">No</t>
  </si>
  <si>
    <t xml:space="preserve">Yes-low-cost</t>
  </si>
  <si>
    <t xml:space="preserve">Yes-expensive</t>
  </si>
  <si>
    <t xml:space="preserve">MUST FIX  WANT TO MAKE THIS ONE OVERRIDE OTHER SCORES. If they answer 3 then make final score max 20 (cancer would still be worse)</t>
  </si>
  <si>
    <t xml:space="preserve">Have you recently been an in-patient in a Rehab Facility?</t>
  </si>
  <si>
    <t xml:space="preserve">Recently-minor</t>
  </si>
  <si>
    <t xml:space="preserve">Recently-major</t>
  </si>
  <si>
    <t xml:space="preserve">Yes-still in Rehab</t>
  </si>
  <si>
    <t xml:space="preserve">MUST FIX  WANT TO MAKE THIS ONE OVERRIDE OTHER SCORES. If major or still in rehab, make it 15 max</t>
  </si>
  <si>
    <t xml:space="preserve">DROPPED</t>
  </si>
  <si>
    <t xml:space="preserve">Any issues with chronic pain?</t>
  </si>
  <si>
    <t xml:space="preserve">Low</t>
  </si>
  <si>
    <t xml:space="preserve">How is your use of Prescription Medications?</t>
  </si>
  <si>
    <t xml:space="preserve">Don't take any meds on regular basis</t>
  </si>
  <si>
    <t xml:space="preserve">Take few meds on regular basis</t>
  </si>
  <si>
    <t xml:space="preserve">Take several meds on regular basis</t>
  </si>
  <si>
    <t xml:space="preserve">Take several meds including some high cost specialty drugs</t>
  </si>
  <si>
    <t xml:space="preserve">Middle</t>
  </si>
  <si>
    <t xml:space="preserve">Do you have Expected Domestic Travel during the year?</t>
  </si>
  <si>
    <t xml:space="preserve">Expect no travel out of area</t>
  </si>
  <si>
    <t xml:space="preserve">Expect little travel out of area</t>
  </si>
  <si>
    <t xml:space="preserve">Expect some travel out of area</t>
  </si>
  <si>
    <t xml:space="preserve">Expect significant travel out of area such as seasonal vacations</t>
  </si>
  <si>
    <t xml:space="preserve">As general rule, Advantage plans do not support travel??</t>
  </si>
  <si>
    <t xml:space="preserve">OVERRIDE. If significant travel through the year then max 45</t>
  </si>
  <si>
    <t xml:space="preserve">Expected foreign travel during the year</t>
  </si>
  <si>
    <t xml:space="preserve">Do not expect any travel out of country</t>
  </si>
  <si>
    <t xml:space="preserve">Expect some travel out of country</t>
  </si>
  <si>
    <t xml:space="preserve">Depends on risk, can tell them to add travel insurance</t>
  </si>
  <si>
    <t xml:space="preserve">Flag: can buy 3rd party insurance</t>
  </si>
  <si>
    <t xml:space="preserve">Importance of other factors:</t>
  </si>
  <si>
    <t xml:space="preserve">What is the Importance of Consistent Out-of-Pocket Spending Per Month?</t>
  </si>
  <si>
    <t xml:space="preserve">Lower monthly cost with possibility of high unexpected out-of-pocket spending (up to a maximum)</t>
  </si>
  <si>
    <t xml:space="preserve">Middle monthly cost with some unexpected out-of-pocket costs</t>
  </si>
  <si>
    <t xml:space="preserve">Consistent monthly cost with almost complete coverage for unexpected events or expected event coming within a year (i.e. peace of mind)</t>
  </si>
  <si>
    <t xml:space="preserve">What importance is the Ability to Choose Specific Primary Care Doctor or Clinic?</t>
  </si>
  <si>
    <t xml:space="preserve">Not important</t>
  </si>
  <si>
    <t xml:space="preserve">Slightly important</t>
  </si>
  <si>
    <t xml:space="preserve">Moderately important</t>
  </si>
  <si>
    <t xml:space="preserve">Highly important</t>
  </si>
  <si>
    <t xml:space="preserve">Very highly important</t>
  </si>
  <si>
    <t xml:space="preserve">What is the importance of the Ability to Choose Specific Specialist and/or Referral Hospital (such as MD Anderson, Mayo Clinic)?</t>
  </si>
  <si>
    <t xml:space="preserve">If high score but big concern, can highlight plan choice options</t>
  </si>
  <si>
    <t xml:space="preserve">What is the importance of the Ability to go to Specialist without Going to Primary Care Doctor First?</t>
  </si>
  <si>
    <t xml:space="preserve">What is the importance of having a plan that includes additional benefits such as dental, hearing and transportation that are not covered by Original Medicare?</t>
  </si>
  <si>
    <t xml:space="preserve">Some MA plan include dental/hearing</t>
  </si>
  <si>
    <t xml:space="preserve">Flag: need to pick right MA plan</t>
  </si>
  <si>
    <t xml:space="preserve">Importance of plan including prescription drug coverage instead of having separate Medicare Part D Plan</t>
  </si>
  <si>
    <t xml:space="preserve">Might not be able to enroll in Medigap if you have significant issues. Can always switch back to Medicare but not always Medigap. The importance of being able to switch to original Medicare+Medigap in the future if desired.</t>
  </si>
  <si>
    <t xml:space="preserve">Form v5</t>
  </si>
  <si>
    <t xml:space="preserve">Possible outputs:</t>
  </si>
  <si>
    <t xml:space="preserve">Final estimated score:</t>
  </si>
  <si>
    <r>
      <rPr>
        <sz val="11"/>
        <color rgb="FF000000"/>
        <rFont val="Calibri"/>
        <family val="2"/>
        <charset val="1"/>
      </rPr>
      <t xml:space="preserve">A. Sign up for </t>
    </r>
    <r>
      <rPr>
        <b val="true"/>
        <sz val="11"/>
        <color rgb="FF000000"/>
        <rFont val="Calibri"/>
        <family val="2"/>
        <charset val="1"/>
      </rPr>
      <t xml:space="preserve">Medicare</t>
    </r>
    <r>
      <rPr>
        <sz val="11"/>
        <color rgb="FF000000"/>
        <rFont val="Calibri"/>
        <family val="2"/>
        <charset val="1"/>
      </rPr>
      <t xml:space="preserve"> (and potentially </t>
    </r>
    <r>
      <rPr>
        <b val="true"/>
        <sz val="11"/>
        <color rgb="FF000000"/>
        <rFont val="Calibri"/>
        <family val="2"/>
        <charset val="1"/>
      </rPr>
      <t xml:space="preserve">Medigap/Medicare supplement</t>
    </r>
    <r>
      <rPr>
        <sz val="11"/>
        <color rgb="FF000000"/>
        <rFont val="Calibri"/>
        <family val="2"/>
        <charset val="1"/>
      </rPr>
      <t xml:space="preserve">), sign up on medicare.gov</t>
    </r>
  </si>
  <si>
    <r>
      <rPr>
        <sz val="11"/>
        <color rgb="FF000000"/>
        <rFont val="Calibri"/>
        <family val="2"/>
        <charset val="1"/>
      </rPr>
      <t xml:space="preserve">B. Sign up for </t>
    </r>
    <r>
      <rPr>
        <b val="true"/>
        <sz val="11"/>
        <color rgb="FF000000"/>
        <rFont val="Calibri"/>
        <family val="2"/>
        <charset val="1"/>
      </rPr>
      <t xml:space="preserve">Medicare Advantage</t>
    </r>
    <r>
      <rPr>
        <sz val="11"/>
        <color rgb="FF000000"/>
        <rFont val="Calibri"/>
        <family val="2"/>
        <charset val="1"/>
      </rPr>
      <t xml:space="preserve"> (up to you to pick one from 100's)</t>
    </r>
  </si>
  <si>
    <t xml:space="preserve">Sign up for TRAVEL INSURANCE (like plan G)</t>
  </si>
  <si>
    <t xml:space="preserve">Notes:</t>
  </si>
  <si>
    <t xml:space="preserve">If you sign up for Medicare Advantage in your first year, you can switch to Medicare+MediGap for the 2nd year</t>
  </si>
  <si>
    <t xml:space="preserve">If you don't switch within one year, switching requires underwriting (they have a right to deny or charge more)</t>
  </si>
  <si>
    <t xml:space="preserve">Switching becomes much more difficult as your health declines or as you age</t>
  </si>
  <si>
    <t xml:space="preserve">Can get stuck in Medicare Advantage if you don't switch before 2nd year</t>
  </si>
  <si>
    <t xml:space="preserve">Guide people toward whether better to sign up for Medicare or Medicare Advantage</t>
  </si>
  <si>
    <t xml:space="preserve">There is no disinterested 3rd party performing this role.  TV ads are all for Medicare Advantage only or for Medicare supplement only.</t>
  </si>
  <si>
    <t xml:space="preserve">People can use the tool every year.  Can always go from Medicare+Medigap to Medicare Advantage but need to be pass a health screen to get Medigap except first sign-up.</t>
  </si>
  <si>
    <t xml:space="preserve">Medicare + Medigap</t>
  </si>
  <si>
    <t xml:space="preserve">Medicare Advantage</t>
  </si>
  <si>
    <t xml:space="preserve">Focus</t>
  </si>
  <si>
    <t xml:space="preserve">Goal is to rely on your medical experts for the best possible patient outcome not worrying about out-of-pocket cost</t>
  </si>
  <si>
    <t xml:space="preserve">Goal is to try lowest-cost solution(s) first and lowest overall cost to Medicare Advantage company</t>
  </si>
  <si>
    <t xml:space="preserve">Medical Management requirement</t>
  </si>
  <si>
    <t xml:space="preserve">No, can go straight to Specialists</t>
  </si>
  <si>
    <t xml:space="preserve">Yes, Medical Manager who works for Medicare Advantage company determines next steps attempting simpler solutions before going to more complicated/expensive procedures or therapies</t>
  </si>
  <si>
    <t xml:space="preserve">Decision-makers</t>
  </si>
  <si>
    <t xml:space="preserve">Your Medical Experts</t>
  </si>
  <si>
    <t xml:space="preserve">Non-Medical Experts at Medicare Advantage company</t>
  </si>
  <si>
    <t xml:space="preserve">Steps</t>
  </si>
  <si>
    <t xml:space="preserve">Can go straight to Specialist to approve a covered procedure or therapy without approval from the plan</t>
  </si>
  <si>
    <t xml:space="preserve">Tests and treatments often require pre-authorization by the Medicare Advantage company's Medical Manager which may lead to only a simpler procedure or therapy to be approved.</t>
  </si>
  <si>
    <t xml:space="preserve">Available doctors</t>
  </si>
  <si>
    <t xml:space="preserve">Any phycisian that participates in Medicare</t>
  </si>
  <si>
    <t xml:space="preserve">Only phycisians in the patient's Medicare Advantage Plan's network</t>
  </si>
  <si>
    <t xml:space="preserve">Examples</t>
  </si>
  <si>
    <t xml:space="preserve">If an orthopedic surgeon determines that a patient needs knee replacement surgery no other approvals are required</t>
  </si>
  <si>
    <t xml:space="preserve">If knee replacement surgery is recommended, the Medical Manager may determine that a less expensive procedure be tried first (i.e. pain management).</t>
  </si>
  <si>
    <t xml:space="preserve">Vet: </t>
  </si>
  <si>
    <t xml:space="preserve">Sick person:</t>
  </si>
  <si>
    <t xml:space="preserve">Mom:</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</si>
</sst>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27">
    <font>
      <sz val="11"/>
      <color rgb="FF000000"/>
      <name val="Calibri"/>
      <family val="2"/>
      <charset val="1"/>
    </font>
    <font>
      <sz val="10"/>
      <name val="Arial"/>
      <family val="0"/>
    </font>
    <font>
      <sz val="10"/>
      <name val="Arial"/>
      <family val="0"/>
    </font>
    <font>
      <sz val="10"/>
      <name val="Arial"/>
      <family val="0"/>
    </font>
    <font>
      <b val="true"/>
      <sz val="14"/>
      <name val="Calibri"/>
      <family val="2"/>
      <charset val="1"/>
    </font>
    <font>
      <sz val="11"/>
      <name val="Calibri"/>
      <family val="2"/>
      <charset val="1"/>
    </font>
    <font>
      <b val="true"/>
      <sz val="12"/>
      <name val="Calibri"/>
      <family val="2"/>
      <charset val="1"/>
    </font>
    <font>
      <sz val="12"/>
      <name val="Calibri"/>
      <family val="2"/>
      <charset val="1"/>
    </font>
    <font>
      <sz val="12"/>
      <color rgb="FF000000"/>
      <name val="Calibri"/>
      <family val="2"/>
      <charset val="1"/>
    </font>
    <font>
      <u val="single"/>
      <sz val="11"/>
      <color rgb="FF0563C1"/>
      <name val="Calibri"/>
      <family val="2"/>
      <charset val="1"/>
    </font>
    <font>
      <b val="true"/>
      <sz val="11"/>
      <color rgb="FF000000"/>
      <name val="Calibri"/>
      <family val="2"/>
      <charset val="1"/>
    </font>
    <font>
      <i val="true"/>
      <sz val="11"/>
      <color rgb="FF000000"/>
      <name val="Calibri"/>
      <family val="2"/>
      <charset val="1"/>
    </font>
    <font>
      <sz val="11"/>
      <color rgb="FF9C0006"/>
      <name val="Calibri"/>
      <family val="2"/>
      <charset val="1"/>
    </font>
    <font>
      <sz val="11"/>
      <color rgb="FF7030A0"/>
      <name val="Calibri"/>
      <family val="2"/>
      <charset val="1"/>
    </font>
    <font>
      <b val="true"/>
      <i val="true"/>
      <sz val="11"/>
      <color rgb="FF000000"/>
      <name val="Calibri"/>
      <family val="2"/>
      <charset val="1"/>
    </font>
    <font>
      <i val="true"/>
      <sz val="11"/>
      <color rgb="FF9C0006"/>
      <name val="Calibri"/>
      <family val="2"/>
      <charset val="1"/>
    </font>
    <font>
      <i val="true"/>
      <sz val="11"/>
      <color rgb="FF7030A0"/>
      <name val="Calibri"/>
      <family val="2"/>
      <charset val="1"/>
    </font>
    <font>
      <sz val="11"/>
      <color rgb="FF006100"/>
      <name val="Calibri"/>
      <family val="2"/>
      <charset val="1"/>
    </font>
    <font>
      <sz val="11"/>
      <color rgb="FF9C5700"/>
      <name val="Calibri"/>
      <family val="2"/>
      <charset val="1"/>
    </font>
    <font>
      <b val="true"/>
      <sz val="14"/>
      <color rgb="FF000000"/>
      <name val="Calibri"/>
      <family val="2"/>
      <charset val="1"/>
    </font>
    <font>
      <sz val="11"/>
      <name val="Times New Roman"/>
      <family val="1"/>
    </font>
    <font>
      <sz val="14"/>
      <color rgb="FF595959"/>
      <name val="Calibri"/>
      <family val="2"/>
    </font>
    <font>
      <sz val="10"/>
      <color rgb="FF000000"/>
      <name val="Calibri"/>
      <family val="2"/>
    </font>
    <font>
      <sz val="9"/>
      <color rgb="FF595959"/>
      <name val="Calibri"/>
      <family val="2"/>
    </font>
    <font>
      <sz val="10"/>
      <color rgb="FF000000"/>
      <name val="Calibri"/>
      <family val="0"/>
    </font>
    <font>
      <sz val="10"/>
      <color rgb="FFFFFFFF"/>
      <name val="Calibri"/>
      <family val="0"/>
    </font>
    <font>
      <sz val="11"/>
      <color rgb="FFFFFFFF"/>
      <name val="Calibri"/>
      <family val="2"/>
      <charset val="1"/>
    </font>
  </fonts>
  <fills count="12">
    <fill>
      <patternFill patternType="none"/>
    </fill>
    <fill>
      <patternFill patternType="gray125"/>
    </fill>
    <fill>
      <patternFill patternType="solid">
        <fgColor rgb="FFFFC7CE"/>
        <bgColor rgb="FFFBE5D6"/>
      </patternFill>
    </fill>
    <fill>
      <patternFill patternType="solid">
        <fgColor rgb="FFC6EFCE"/>
        <bgColor rgb="FFE2F0D9"/>
      </patternFill>
    </fill>
    <fill>
      <patternFill patternType="solid">
        <fgColor rgb="FFFFEB9C"/>
        <bgColor rgb="FFFBE5D6"/>
      </patternFill>
    </fill>
    <fill>
      <patternFill patternType="solid">
        <fgColor rgb="FFFFFF00"/>
        <bgColor rgb="FFFFFF00"/>
      </patternFill>
    </fill>
    <fill>
      <patternFill patternType="solid">
        <fgColor rgb="FFB4C7E7"/>
        <bgColor rgb="FFBFBFBF"/>
      </patternFill>
    </fill>
    <fill>
      <patternFill patternType="solid">
        <fgColor rgb="FFE2F0D9"/>
        <bgColor rgb="FFC6EFCE"/>
      </patternFill>
    </fill>
    <fill>
      <patternFill patternType="solid">
        <fgColor rgb="FFFBE5D6"/>
        <bgColor rgb="FFE2F0D9"/>
      </patternFill>
    </fill>
    <fill>
      <patternFill patternType="solid">
        <fgColor rgb="FFA6A6A6"/>
        <bgColor rgb="FFBFBFBF"/>
      </patternFill>
    </fill>
    <fill>
      <patternFill patternType="solid">
        <fgColor rgb="FF4472C4"/>
        <bgColor rgb="FF0563C1"/>
      </patternFill>
    </fill>
    <fill>
      <patternFill patternType="solid">
        <fgColor rgb="FFFF0000"/>
        <bgColor rgb="FF9C0006"/>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style="medium"/>
      <right style="thin"/>
      <top/>
      <bottom/>
      <diagonal/>
    </border>
    <border diagonalUp="false" diagonalDown="false">
      <left style="thin"/>
      <right style="thin"/>
      <top/>
      <bottom/>
      <diagonal/>
    </border>
    <border diagonalUp="false" diagonalDown="false">
      <left style="thin"/>
      <right/>
      <top style="thin"/>
      <bottom style="thin"/>
      <diagonal/>
    </border>
    <border diagonalUp="false" diagonalDown="false">
      <left style="medium"/>
      <right style="thin"/>
      <top style="medium"/>
      <bottom style="medium"/>
      <diagonal/>
    </border>
    <border diagonalUp="false" diagonalDown="false">
      <left/>
      <right style="medium"/>
      <top style="medium"/>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12" fillId="2" borderId="0" applyFont="true" applyBorder="false" applyAlignment="true" applyProtection="false">
      <alignment horizontal="general" vertical="bottom" textRotation="0" wrapText="false" indent="0" shrinkToFit="false"/>
    </xf>
    <xf numFmtId="164" fontId="17" fillId="3" borderId="0" applyFont="true" applyBorder="false" applyAlignment="true" applyProtection="false">
      <alignment horizontal="general" vertical="bottom" textRotation="0" wrapText="false" indent="0" shrinkToFit="false"/>
    </xf>
    <xf numFmtId="164" fontId="18" fillId="4" borderId="0" applyFont="true" applyBorder="false" applyAlignment="true" applyProtection="false">
      <alignment horizontal="general" vertical="bottom" textRotation="0" wrapText="false" indent="0" shrinkToFit="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20" applyFont="fals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left"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xf numFmtId="165" fontId="11" fillId="5" borderId="3" xfId="0" applyFont="true" applyBorder="true" applyAlignment="true" applyProtection="false">
      <alignment horizontal="center" vertical="bottom" textRotation="0" wrapText="false" indent="0" shrinkToFit="false"/>
      <protection locked="true" hidden="false"/>
    </xf>
    <xf numFmtId="164" fontId="10" fillId="0" borderId="2"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0" fillId="0" borderId="8" xfId="0" applyFont="false" applyBorder="tru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9" xfId="0" applyFont="false" applyBorder="true" applyAlignment="true" applyProtection="false">
      <alignment horizontal="center" vertical="top" textRotation="0" wrapText="false" indent="0" shrinkToFit="false"/>
      <protection locked="true" hidden="false"/>
    </xf>
    <xf numFmtId="164" fontId="0" fillId="0" borderId="3" xfId="0" applyFont="true" applyBorder="true" applyAlignment="true" applyProtection="false">
      <alignment horizontal="center" vertical="top" textRotation="0" wrapText="false" indent="0" shrinkToFit="false"/>
      <protection locked="true" hidden="false"/>
    </xf>
    <xf numFmtId="164" fontId="10" fillId="0" borderId="3"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7" fillId="0" borderId="10" xfId="0" applyFont="true" applyBorder="true" applyAlignment="true" applyProtection="false">
      <alignment horizontal="center" vertical="top" textRotation="0" wrapText="false" indent="0" shrinkToFit="false"/>
      <protection locked="true" hidden="false"/>
    </xf>
    <xf numFmtId="164" fontId="0" fillId="0" borderId="11" xfId="0" applyFont="false" applyBorder="tru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12" fillId="2" borderId="1" xfId="21" applyFont="false" applyBorder="true" applyAlignment="true" applyProtection="true">
      <alignment horizontal="center" vertical="top" textRotation="0" wrapText="false" indent="0" shrinkToFit="false"/>
      <protection locked="true" hidden="false"/>
    </xf>
    <xf numFmtId="164" fontId="12" fillId="2" borderId="3" xfId="21" applyFont="false" applyBorder="true" applyAlignment="true" applyProtection="true">
      <alignment horizontal="center" vertical="top" textRotation="0" wrapText="false" indent="0" shrinkToFit="false"/>
      <protection locked="true" hidden="false"/>
    </xf>
    <xf numFmtId="165" fontId="0" fillId="7" borderId="3" xfId="0" applyFont="false" applyBorder="true" applyAlignment="true" applyProtection="false">
      <alignment horizontal="center" vertical="top" textRotation="0" wrapText="false" indent="0" shrinkToFit="false"/>
      <protection locked="true" hidden="false"/>
    </xf>
    <xf numFmtId="164" fontId="13" fillId="8" borderId="0" xfId="21"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0" fillId="5" borderId="3" xfId="0" applyFont="false" applyBorder="true" applyAlignment="true" applyProtection="false">
      <alignment horizontal="center" vertical="top" textRotation="0" wrapText="false" indent="0" shrinkToFit="false"/>
      <protection locked="true" hidden="false"/>
    </xf>
    <xf numFmtId="164" fontId="12" fillId="2" borderId="12" xfId="21" applyFont="false" applyBorder="true" applyAlignment="true" applyProtection="true">
      <alignment horizontal="center" vertical="top" textRotation="0" wrapText="false" indent="0" shrinkToFit="false"/>
      <protection locked="true" hidden="false"/>
    </xf>
    <xf numFmtId="164" fontId="15" fillId="2" borderId="3" xfId="21" applyFont="true" applyBorder="true" applyAlignment="true" applyProtection="true">
      <alignment horizontal="center" vertical="top" textRotation="0" wrapText="false" indent="0" shrinkToFit="false"/>
      <protection locked="true" hidden="false"/>
    </xf>
    <xf numFmtId="164" fontId="12" fillId="2" borderId="0" xfId="21"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3" fillId="0" borderId="1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4" fontId="13" fillId="0" borderId="9" xfId="0" applyFont="true" applyBorder="true" applyAlignment="true" applyProtection="false">
      <alignment horizontal="center" vertical="top" textRotation="0" wrapText="false" indent="0" shrinkToFit="false"/>
      <protection locked="true" hidden="false"/>
    </xf>
    <xf numFmtId="165" fontId="13" fillId="0" borderId="8" xfId="0" applyFont="true" applyBorder="true" applyAlignment="true" applyProtection="false">
      <alignment horizontal="center" vertical="top" textRotation="0" wrapText="false" indent="0" shrinkToFit="false"/>
      <protection locked="true" hidden="false"/>
    </xf>
    <xf numFmtId="164" fontId="16" fillId="5" borderId="3" xfId="21" applyFont="true" applyBorder="true" applyAlignment="true" applyProtection="true">
      <alignment horizontal="center" vertical="top" textRotation="0" wrapText="false" indent="0" shrinkToFit="false"/>
      <protection locked="true" hidden="false"/>
    </xf>
    <xf numFmtId="165" fontId="13" fillId="7" borderId="3" xfId="0" applyFont="true" applyBorder="true" applyAlignment="true" applyProtection="false">
      <alignment horizontal="center" vertical="top" textRotation="0" wrapText="false" indent="0" shrinkToFit="false"/>
      <protection locked="true" hidden="false"/>
    </xf>
    <xf numFmtId="166" fontId="0" fillId="7" borderId="3" xfId="0" applyFont="false" applyBorder="true" applyAlignment="true" applyProtection="false">
      <alignment horizontal="center" vertical="top"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false">
      <alignment horizontal="center" vertical="top" textRotation="0" wrapText="false" indent="0" shrinkToFit="false"/>
      <protection locked="true" hidden="false"/>
    </xf>
    <xf numFmtId="164" fontId="7" fillId="9" borderId="0" xfId="0" applyFont="true" applyBorder="false" applyAlignment="true" applyProtection="false">
      <alignment horizontal="center" vertical="top" textRotation="0" wrapText="false" indent="0" shrinkToFit="false"/>
      <protection locked="true" hidden="false"/>
    </xf>
    <xf numFmtId="164" fontId="0" fillId="9" borderId="11" xfId="0" applyFont="false" applyBorder="true" applyAlignment="true" applyProtection="false">
      <alignment horizontal="center" vertical="top" textRotation="0" wrapText="false" indent="0" shrinkToFit="false"/>
      <protection locked="true" hidden="false"/>
    </xf>
    <xf numFmtId="164" fontId="0" fillId="9" borderId="1" xfId="0" applyFont="false" applyBorder="true" applyAlignment="true" applyProtection="false">
      <alignment horizontal="center" vertical="top" textRotation="0" wrapText="false" indent="0" shrinkToFit="false"/>
      <protection locked="true" hidden="false"/>
    </xf>
    <xf numFmtId="164" fontId="0" fillId="9" borderId="0" xfId="0" applyFont="false" applyBorder="false" applyAlignment="true" applyProtection="false">
      <alignment horizontal="center" vertical="top" textRotation="0" wrapText="false" indent="0" shrinkToFit="false"/>
      <protection locked="true" hidden="false"/>
    </xf>
    <xf numFmtId="164" fontId="0" fillId="9" borderId="9" xfId="0" applyFont="false" applyBorder="true" applyAlignment="true" applyProtection="false">
      <alignment horizontal="center" vertical="top" textRotation="0" wrapText="false" indent="0" shrinkToFit="false"/>
      <protection locked="true" hidden="false"/>
    </xf>
    <xf numFmtId="164" fontId="0" fillId="9" borderId="8" xfId="0" applyFont="false" applyBorder="true" applyAlignment="true" applyProtection="false">
      <alignment horizontal="center" vertical="top" textRotation="0" wrapText="false" indent="0" shrinkToFit="false"/>
      <protection locked="true" hidden="false"/>
    </xf>
    <xf numFmtId="164" fontId="17" fillId="9" borderId="3" xfId="22" applyFont="false" applyBorder="true" applyAlignment="true" applyProtection="true">
      <alignment horizontal="center" vertical="top" textRotation="0" wrapText="false" indent="0" shrinkToFit="false"/>
      <protection locked="true" hidden="false"/>
    </xf>
    <xf numFmtId="164" fontId="0" fillId="9" borderId="3" xfId="0" applyFont="fals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6" borderId="13" xfId="0" applyFont="true" applyBorder="true" applyAlignment="true" applyProtection="false">
      <alignment horizontal="center" vertical="top" textRotation="0" wrapText="false" indent="0" shrinkToFit="false"/>
      <protection locked="true" hidden="false"/>
    </xf>
    <xf numFmtId="164" fontId="7" fillId="0" borderId="13"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7" fillId="3" borderId="3" xfId="22" applyFont="false" applyBorder="true" applyAlignment="true" applyProtection="true">
      <alignment horizontal="center" vertical="top" textRotation="0" wrapText="fals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4" fontId="0" fillId="5" borderId="1" xfId="0" applyFont="false" applyBorder="true" applyAlignment="true" applyProtection="false">
      <alignment horizontal="center" vertical="top" textRotation="0" wrapText="false" indent="0" shrinkToFit="false"/>
      <protection locked="true" hidden="false"/>
    </xf>
    <xf numFmtId="164" fontId="7" fillId="9" borderId="1" xfId="0" applyFont="true" applyBorder="tru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9" borderId="0" xfId="0" applyFont="true" applyBorder="false" applyAlignment="true" applyProtection="false">
      <alignment horizontal="center" vertical="top" textRotation="0" wrapText="true" indent="0" shrinkToFit="false"/>
      <protection locked="true" hidden="false"/>
    </xf>
    <xf numFmtId="164" fontId="0" fillId="9" borderId="0" xfId="0" applyFont="true" applyBorder="false" applyAlignment="true" applyProtection="false">
      <alignment horizontal="general" vertical="top" textRotation="0" wrapText="false" indent="0" shrinkToFit="false"/>
      <protection locked="true" hidden="false"/>
    </xf>
    <xf numFmtId="164" fontId="12" fillId="9" borderId="3" xfId="21" applyFont="false" applyBorder="true" applyAlignment="true" applyProtection="tru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4" xfId="0" applyFont="true" applyBorder="true" applyAlignment="true" applyProtection="false">
      <alignment horizontal="center" vertical="top" textRotation="0" wrapText="true" indent="0" shrinkToFit="false"/>
      <protection locked="true" hidden="false"/>
    </xf>
    <xf numFmtId="164" fontId="6" fillId="0" borderId="15"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16" xfId="0" applyFont="false" applyBorder="true" applyAlignment="true" applyProtection="false">
      <alignment horizontal="center" vertical="top" textRotation="0" wrapText="false" indent="0" shrinkToFit="false"/>
      <protection locked="true" hidden="false"/>
    </xf>
    <xf numFmtId="164" fontId="0" fillId="0" borderId="17" xfId="0" applyFont="fals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6" borderId="18" xfId="0" applyFont="true" applyBorder="true" applyAlignment="true" applyProtection="false">
      <alignment horizontal="center" vertical="top" textRotation="0" wrapText="false" indent="0" shrinkToFit="false"/>
      <protection locked="true" hidden="false"/>
    </xf>
    <xf numFmtId="164" fontId="0" fillId="0" borderId="12" xfId="0" applyFont="false" applyBorder="true" applyAlignment="true" applyProtection="false">
      <alignment horizontal="center" vertical="top" textRotation="0" wrapText="false" indent="0" shrinkToFit="false"/>
      <protection locked="true" hidden="false"/>
    </xf>
    <xf numFmtId="165" fontId="11" fillId="7" borderId="3" xfId="0" applyFont="true" applyBorder="true" applyAlignment="true" applyProtection="false">
      <alignment horizontal="center" vertical="top" textRotation="0" wrapText="false" indent="0" shrinkToFit="false"/>
      <protection locked="true" hidden="false"/>
    </xf>
    <xf numFmtId="164" fontId="18" fillId="4" borderId="3" xfId="23" applyFont="false" applyBorder="true" applyAlignment="true" applyProtection="true">
      <alignment horizontal="center" vertical="top" textRotation="0" wrapText="false" indent="0" shrinkToFit="false"/>
      <protection locked="true" hidden="false"/>
    </xf>
    <xf numFmtId="164" fontId="0" fillId="5" borderId="0" xfId="0" applyFont="true" applyBorder="fals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9" borderId="1" xfId="21" applyFont="true" applyBorder="true" applyAlignment="true" applyProtection="true">
      <alignment horizontal="general" vertical="top" textRotation="0" wrapText="true" indent="0" shrinkToFit="false"/>
      <protection locked="true" hidden="false"/>
    </xf>
    <xf numFmtId="164" fontId="7" fillId="9" borderId="13"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0" fillId="7" borderId="19" xfId="0" applyFont="true" applyBorder="true" applyAlignment="true" applyProtection="false">
      <alignment horizontal="right" vertical="bottom" textRotation="0" wrapText="false" indent="0" shrinkToFit="false"/>
      <protection locked="true" hidden="false"/>
    </xf>
    <xf numFmtId="166" fontId="19" fillId="7" borderId="20" xfId="0" applyFont="true" applyBorder="true" applyAlignment="true" applyProtection="false">
      <alignment horizontal="center" vertical="bottom" textRotation="0" wrapText="false" indent="0" shrinkToFit="false"/>
      <protection locked="true" hidden="false"/>
    </xf>
    <xf numFmtId="164" fontId="0" fillId="10" borderId="0" xfId="0" applyFont="true" applyBorder="false" applyAlignment="true" applyProtection="false">
      <alignment horizontal="general" vertical="top" textRotation="0" wrapText="false" indent="0" shrinkToFit="false"/>
      <protection locked="true" hidden="false"/>
    </xf>
    <xf numFmtId="164" fontId="26" fillId="11"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 name="Excel Built-in Bad" xfId="21"/>
    <cellStyle name="Excel Built-in Good" xfId="22"/>
    <cellStyle name="Excel Built-in Neutral" xfId="23"/>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B8B8B"/>
      <rgbColor rgb="FF9999FF"/>
      <rgbColor rgb="FF7030A0"/>
      <rgbColor rgb="FFE2F0D9"/>
      <rgbColor rgb="FFD9D9D9"/>
      <rgbColor rgb="FF660066"/>
      <rgbColor rgb="FFFF8080"/>
      <rgbColor rgb="FF0563C1"/>
      <rgbColor rgb="FFB4C7E7"/>
      <rgbColor rgb="FF000080"/>
      <rgbColor rgb="FFFF00FF"/>
      <rgbColor rgb="FFFFFF00"/>
      <rgbColor rgb="FF00FFFF"/>
      <rgbColor rgb="FF800080"/>
      <rgbColor rgb="FF800000"/>
      <rgbColor rgb="FF008080"/>
      <rgbColor rgb="FF0000FF"/>
      <rgbColor rgb="FF00CCFF"/>
      <rgbColor rgb="FFFBE5D6"/>
      <rgbColor rgb="FFC6EFCE"/>
      <rgbColor rgb="FFFFEB9C"/>
      <rgbColor rgb="FF99CCFF"/>
      <rgbColor rgb="FFFF99CC"/>
      <rgbColor rgb="FFCC99FF"/>
      <rgbColor rgb="FFFFC7CE"/>
      <rgbColor rgb="FF4472C4"/>
      <rgbColor rgb="FF33CCCC"/>
      <rgbColor rgb="FF99CC00"/>
      <rgbColor rgb="FFFFC000"/>
      <rgbColor rgb="FFFF9900"/>
      <rgbColor rgb="FFFF6600"/>
      <rgbColor rgb="FF595959"/>
      <rgbColor rgb="FFA6A6A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charts/_rels/chart2.xml.rels><?xml version="1.0" encoding="UTF-8"?>
<Relationships xmlns="http://schemas.openxmlformats.org/package/2006/relationships"><Relationship Id="rId1" Type="http://schemas.openxmlformats.org/officeDocument/2006/relationships/chartUserShapes" Target="../drawings/drawing2.xml"/>
</Relationships>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400" spc="-1" strike="noStrike">
                <a:solidFill>
                  <a:srgbClr val="595959"/>
                </a:solidFill>
                <a:latin typeface="Calibri"/>
              </a:defRPr>
            </a:pPr>
            <a:r>
              <a:rPr b="0" sz="1400" spc="-1" strike="noStrike">
                <a:solidFill>
                  <a:srgbClr val="595959"/>
                </a:solidFill>
                <a:latin typeface="Calibri"/>
              </a:rPr>
              <a:t>Final estimated score:</a:t>
            </a:r>
          </a:p>
        </c:rich>
      </c:tx>
      <c:layout>
        <c:manualLayout>
          <c:xMode val="edge"/>
          <c:yMode val="edge"/>
          <c:x val="0.369585095439479"/>
          <c:y val="0.103562160887002"/>
        </c:manualLayout>
      </c:layout>
      <c:overlay val="0"/>
      <c:spPr>
        <a:noFill/>
        <a:ln w="0">
          <a:noFill/>
        </a:ln>
      </c:spPr>
    </c:title>
    <c:autoTitleDeleted val="0"/>
    <c:plotArea>
      <c:layout>
        <c:manualLayout>
          <c:layoutTarget val="inner"/>
          <c:xMode val="edge"/>
          <c:yMode val="edge"/>
          <c:x val="0.057149388501543"/>
          <c:y val="0.0884642604387827"/>
          <c:w val="0.890273174077037"/>
          <c:h val="0.726114649681529"/>
        </c:manualLayout>
      </c:layout>
      <c:barChart>
        <c:barDir val="bar"/>
        <c:grouping val="clustered"/>
        <c:varyColors val="0"/>
        <c:ser>
          <c:idx val="0"/>
          <c:order val="0"/>
          <c:tx>
            <c:strRef>
              <c:f>Questionnaire!$G$30</c:f>
              <c:strCache>
                <c:ptCount val="1"/>
                <c:pt idx="0">
                  <c:v>Final estimated score:</c:v>
                </c:pt>
              </c:strCache>
            </c:strRef>
          </c:tx>
          <c:spPr>
            <a:solidFill>
              <a:srgbClr val="ffc000"/>
            </a:solidFill>
            <a:ln w="19080">
              <a:solidFill>
                <a:srgbClr val="000000"/>
              </a:solidFill>
              <a:round/>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Questionnaire!$H$30</c:f>
              <c:numCache>
                <c:formatCode>General</c:formatCode>
                <c:ptCount val="1"/>
                <c:pt idx="0">
                  <c:v>38.25</c:v>
                </c:pt>
              </c:numCache>
            </c:numRef>
          </c:val>
        </c:ser>
        <c:gapWidth val="150"/>
        <c:overlap val="0"/>
        <c:axId val="9041037"/>
        <c:axId val="49969551"/>
      </c:barChart>
      <c:catAx>
        <c:axId val="9041037"/>
        <c:scaling>
          <c:orientation val="minMax"/>
        </c:scaling>
        <c:delete val="1"/>
        <c:axPos val="b"/>
        <c:majorGridlines>
          <c:spPr>
            <a:ln w="9360">
              <a:solidFill>
                <a:srgbClr val="d9d9d9"/>
              </a:solidFill>
              <a:round/>
            </a:ln>
          </c:spPr>
        </c:majorGridlines>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49969551"/>
        <c:auto val="1"/>
        <c:lblAlgn val="ctr"/>
        <c:lblOffset val="100"/>
        <c:noMultiLvlLbl val="0"/>
      </c:catAx>
      <c:valAx>
        <c:axId val="49969551"/>
        <c:scaling>
          <c:orientation val="minMax"/>
          <c:max val="100"/>
        </c:scaling>
        <c:delete val="0"/>
        <c:axPos val="l"/>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041037"/>
        <c:crosses val="autoZero"/>
        <c:crossBetween val="between"/>
        <c:majorUnit val="10"/>
      </c:valAx>
      <c:spPr>
        <a:noFill/>
        <a:ln w="0">
          <a:noFill/>
        </a:ln>
      </c:spPr>
    </c:plotArea>
    <c:plotVisOnly val="1"/>
    <c:dispBlanksAs val="gap"/>
  </c:chart>
  <c:spPr>
    <a:solidFill>
      <a:srgbClr val="ffffff"/>
    </a:solidFill>
    <a:ln w="9360">
      <a:solidFill>
        <a:srgbClr val="d9d9d9"/>
      </a:solidFill>
      <a:round/>
    </a:ln>
  </c:spPr>
  <c:userShapes r:id="rId1"/>
</c:chartSpace>
</file>

<file path=xl/drawings/_rels/drawing1.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723960</xdr:colOff>
      <xdr:row>30</xdr:row>
      <xdr:rowOff>56160</xdr:rowOff>
    </xdr:from>
    <xdr:to>
      <xdr:col>7</xdr:col>
      <xdr:colOff>1755360</xdr:colOff>
      <xdr:row>38</xdr:row>
      <xdr:rowOff>134280</xdr:rowOff>
    </xdr:to>
    <xdr:graphicFrame>
      <xdr:nvGraphicFramePr>
        <xdr:cNvPr id="0" name="Chart 2"/>
        <xdr:cNvGraphicFramePr/>
      </xdr:nvGraphicFramePr>
      <xdr:xfrm>
        <a:off x="7774920" y="8733600"/>
        <a:ext cx="6298920" cy="1525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6</xdr:col>
      <xdr:colOff>377640</xdr:colOff>
      <xdr:row>35</xdr:row>
      <xdr:rowOff>79560</xdr:rowOff>
    </xdr:from>
    <xdr:to>
      <xdr:col>6</xdr:col>
      <xdr:colOff>1295280</xdr:colOff>
      <xdr:row>37</xdr:row>
      <xdr:rowOff>60480</xdr:rowOff>
    </xdr:to>
    <xdr:sp>
      <xdr:nvSpPr>
        <xdr:cNvPr id="2" name="Rectangle 6"/>
        <xdr:cNvSpPr/>
      </xdr:nvSpPr>
      <xdr:spPr>
        <a:xfrm>
          <a:off x="10940400" y="9661680"/>
          <a:ext cx="917640" cy="343080"/>
        </a:xfrm>
        <a:prstGeom prst="rect">
          <a:avLst/>
        </a:prstGeom>
        <a:solidFill>
          <a:schemeClr val="tx2">
            <a:lumMod val="20000"/>
            <a:lumOff val="80000"/>
          </a:schemeClr>
        </a:solidFill>
        <a:ln>
          <a:solidFill>
            <a:srgbClr val="325490"/>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en-US" sz="1000" spc="-1" strike="noStrike">
              <a:solidFill>
                <a:srgbClr val="000000"/>
              </a:solidFill>
              <a:latin typeface="Calibri"/>
            </a:rPr>
            <a:t>Gray Area</a:t>
          </a:r>
          <a:endParaRPr b="0" lang="en-US" sz="1000" spc="-1" strike="noStrike">
            <a:latin typeface="Times New Roman"/>
          </a:endParaRPr>
        </a:p>
      </xdr:txBody>
    </xdr:sp>
    <xdr:clientData/>
  </xdr:twoCellAnchor>
  <xdr:twoCellAnchor editAs="twoCell">
    <xdr:from>
      <xdr:col>6</xdr:col>
      <xdr:colOff>1304280</xdr:colOff>
      <xdr:row>35</xdr:row>
      <xdr:rowOff>76320</xdr:rowOff>
    </xdr:from>
    <xdr:to>
      <xdr:col>7</xdr:col>
      <xdr:colOff>1421280</xdr:colOff>
      <xdr:row>37</xdr:row>
      <xdr:rowOff>60840</xdr:rowOff>
    </xdr:to>
    <xdr:sp>
      <xdr:nvSpPr>
        <xdr:cNvPr id="3" name="Rectangle 3"/>
        <xdr:cNvSpPr/>
      </xdr:nvSpPr>
      <xdr:spPr>
        <a:xfrm>
          <a:off x="11867040" y="9658440"/>
          <a:ext cx="1872720" cy="346680"/>
        </a:xfrm>
        <a:prstGeom prst="rect">
          <a:avLst/>
        </a:prstGeom>
        <a:solidFill>
          <a:srgbClr val="ff0000"/>
        </a:solidFill>
        <a:ln>
          <a:solidFill>
            <a:srgbClr val="325490"/>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en-US" sz="1000" spc="-1" strike="noStrike">
              <a:solidFill>
                <a:srgbClr val="ffffff"/>
              </a:solidFill>
              <a:latin typeface="Calibri"/>
            </a:rPr>
            <a:t>Medicare Advantage</a:t>
          </a:r>
          <a:endParaRPr b="0" lang="en-US" sz="1000" spc="-1" strike="noStrike">
            <a:latin typeface="Times New Roman"/>
          </a:endParaRPr>
        </a:p>
      </xdr:txBody>
    </xdr:sp>
    <xdr:clientData/>
  </xdr:twoCellAnchor>
  <xdr:twoCellAnchor editAs="twoCell">
    <xdr:from>
      <xdr:col>4</xdr:col>
      <xdr:colOff>1085040</xdr:colOff>
      <xdr:row>35</xdr:row>
      <xdr:rowOff>82800</xdr:rowOff>
    </xdr:from>
    <xdr:to>
      <xdr:col>6</xdr:col>
      <xdr:colOff>388800</xdr:colOff>
      <xdr:row>37</xdr:row>
      <xdr:rowOff>65880</xdr:rowOff>
    </xdr:to>
    <xdr:sp>
      <xdr:nvSpPr>
        <xdr:cNvPr id="4" name="Rectangle 4"/>
        <xdr:cNvSpPr/>
      </xdr:nvSpPr>
      <xdr:spPr>
        <a:xfrm>
          <a:off x="8136000" y="9664920"/>
          <a:ext cx="2815560" cy="345240"/>
        </a:xfrm>
        <a:prstGeom prst="rect">
          <a:avLst/>
        </a:prstGeom>
        <a:solidFill>
          <a:srgbClr val="4472c4"/>
        </a:solidFill>
        <a:ln>
          <a:solidFill>
            <a:srgbClr val="325490"/>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en-US" sz="1000" spc="-1" strike="noStrike">
              <a:solidFill>
                <a:srgbClr val="ffffff"/>
              </a:solidFill>
              <a:latin typeface="Calibri"/>
            </a:rPr>
            <a:t>Medicare+MediGap</a:t>
          </a:r>
          <a:endParaRPr b="0" lang="en-US" sz="1000" spc="-1" strike="noStrike">
            <a:latin typeface="Times New Roman"/>
          </a:endParaRPr>
        </a:p>
      </xdr:txBody>
    </xdr:sp>
    <xdr:clientData/>
  </xdr:twoCellAnchor>
</xdr:wsDr>
</file>

<file path=xl/drawings/drawing2.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0.0672076808778146</cdr:x>
      <cdr:y>0.364236848313281</cdr:y>
    </cdr:from>
    <cdr:to>
      <cdr:x>0.262029946279575</cdr:x>
      <cdr:y>0.582920500117952</cdr:y>
    </cdr:to>
    <cdr:sp>
      <cdr:nvSpPr>
        <cdr:cNvPr id="1" name="TextBox 1"/>
        <cdr:cNvSpPr/>
      </cdr:nvSpPr>
      <cdr:spPr>
        <a:xfrm>
          <a:off x="423360" y="555840"/>
          <a:ext cx="1227240" cy="333720"/>
        </a:xfrm>
        <a:prstGeom prst="rect">
          <a:avLst/>
        </a:prstGeom>
        <a:noFill/>
        <a:ln w="0">
          <a:noFill/>
        </a:ln>
      </cdr:spPr>
      <cdr:style>
        <a:lnRef idx="0"/>
        <a:fillRef idx="0"/>
        <a:effectRef idx="0"/>
        <a:fontRef idx="minor"/>
      </cdr:style>
      <cdr:txBody>
        <a:bodyPr wrap="none" vertOverflow="clip" lIns="90000" rIns="90000" tIns="45000" bIns="45000" anchor="t">
          <a:noAutofit/>
        </a:bodyPr>
        <a:p>
          <a:pPr>
            <a:lnSpc>
              <a:spcPct val="100000"/>
            </a:lnSpc>
          </a:pPr>
          <a:r>
            <a:rPr b="0" lang="en-US" sz="1100" spc="-1" strike="noStrike">
              <a:latin typeface="Times New Roman"/>
            </a:rPr>
            <a:t>Your score</a:t>
          </a:r>
          <a:endParaRPr b="0" sz="1100" spc="-1" strike="noStrike">
            <a:latin typeface="Times New Roman"/>
          </a:endParaRPr>
        </a:p>
      </cdr:txBody>
    </cdr:sp>
  </cdr:relSizeAnchor>
</c:userShape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S46"/>
  <sheetViews>
    <sheetView showFormulas="false" showGridLines="true" showRowColHeaders="true" showZeros="true" rightToLeft="false" tabSelected="true" showOutlineSymbols="true" defaultGridColor="true" view="normal" topLeftCell="A1" colorId="64" zoomScale="111" zoomScaleNormal="111"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B7" activeCellId="0" sqref="B7"/>
    </sheetView>
  </sheetViews>
  <sheetFormatPr defaultColWidth="8.61328125" defaultRowHeight="14.25" zeroHeight="false" outlineLevelRow="0" outlineLevelCol="0"/>
  <cols>
    <col collapsed="false" customWidth="true" hidden="false" outlineLevel="0" max="2" min="2" style="0" width="58.78"/>
    <col collapsed="false" customWidth="true" hidden="false" outlineLevel="0" max="3" min="3" style="1" width="7.67"/>
    <col collapsed="false" customWidth="true" hidden="false" outlineLevel="0" max="8" min="4" style="0" width="24.88"/>
    <col collapsed="false" customWidth="true" hidden="false" outlineLevel="0" max="9" min="9" style="0" width="2.22"/>
    <col collapsed="false" customWidth="true" hidden="false" outlineLevel="0" max="10" min="10" style="0" width="21.22"/>
  </cols>
  <sheetData>
    <row r="1" customFormat="false" ht="18" hidden="false" customHeight="false" outlineLevel="0" collapsed="false">
      <c r="B1" s="2" t="s">
        <v>0</v>
      </c>
      <c r="C1" s="3"/>
      <c r="D1" s="4"/>
      <c r="E1" s="4"/>
      <c r="F1" s="4"/>
      <c r="G1" s="4"/>
      <c r="H1" s="4"/>
    </row>
    <row r="2" customFormat="false" ht="15" hidden="false" customHeight="false" outlineLevel="0" collapsed="false">
      <c r="B2" s="5" t="s">
        <v>1</v>
      </c>
      <c r="C2" s="6"/>
      <c r="D2" s="7"/>
      <c r="E2" s="7"/>
      <c r="F2" s="7"/>
      <c r="G2" s="7"/>
      <c r="H2" s="7"/>
    </row>
    <row r="3" customFormat="false" ht="15" hidden="false" customHeight="false" outlineLevel="0" collapsed="false">
      <c r="B3" s="8" t="s">
        <v>2</v>
      </c>
      <c r="C3" s="9"/>
      <c r="D3" s="10"/>
      <c r="E3" s="7"/>
      <c r="F3" s="11"/>
      <c r="G3" s="7"/>
      <c r="H3" s="7"/>
    </row>
    <row r="4" customFormat="false" ht="15.75" hidden="false" customHeight="false" outlineLevel="0" collapsed="false">
      <c r="B4" s="12" t="s">
        <v>3</v>
      </c>
      <c r="C4" s="9"/>
      <c r="D4" s="10" t="s">
        <v>4</v>
      </c>
      <c r="E4" s="7"/>
      <c r="F4" s="7"/>
      <c r="G4" s="7"/>
      <c r="H4" s="7"/>
    </row>
    <row r="5" customFormat="false" ht="15" hidden="false" customHeight="false" outlineLevel="0" collapsed="false">
      <c r="B5" s="12" t="s">
        <v>5</v>
      </c>
      <c r="C5" s="13"/>
      <c r="D5" s="10" t="n">
        <v>72703</v>
      </c>
      <c r="E5" s="7"/>
      <c r="F5" s="7"/>
      <c r="G5" s="7"/>
      <c r="H5" s="7"/>
      <c r="J5" s="14" t="s">
        <v>6</v>
      </c>
      <c r="K5" s="1"/>
      <c r="L5" s="1"/>
      <c r="M5" s="1"/>
      <c r="N5" s="1"/>
      <c r="O5" s="1"/>
      <c r="P5" s="1"/>
      <c r="Q5" s="15" t="s">
        <v>7</v>
      </c>
      <c r="R5" s="1"/>
    </row>
    <row r="6" customFormat="false" ht="15.75" hidden="false" customHeight="false" outlineLevel="0" collapsed="false">
      <c r="B6" s="12" t="s">
        <v>8</v>
      </c>
      <c r="C6" s="13"/>
      <c r="D6" s="10" t="s">
        <v>9</v>
      </c>
      <c r="E6" s="7"/>
      <c r="F6" s="7"/>
      <c r="G6" s="7"/>
      <c r="H6" s="7"/>
      <c r="K6" s="16" t="s">
        <v>10</v>
      </c>
      <c r="L6" s="1"/>
      <c r="M6" s="1"/>
      <c r="N6" s="1"/>
      <c r="O6" s="1"/>
      <c r="P6" s="1"/>
      <c r="Q6" s="17" t="s">
        <v>11</v>
      </c>
      <c r="R6" s="1"/>
    </row>
    <row r="7" customFormat="false" ht="15" hidden="false" customHeight="false" outlineLevel="0" collapsed="false">
      <c r="B7" s="18"/>
      <c r="C7" s="19"/>
      <c r="D7" s="20"/>
      <c r="E7" s="21" t="s">
        <v>12</v>
      </c>
      <c r="F7" s="7"/>
      <c r="G7" s="7"/>
      <c r="H7" s="7"/>
      <c r="K7" s="22" t="s">
        <v>13</v>
      </c>
      <c r="L7" s="23"/>
      <c r="M7" s="23"/>
      <c r="N7" s="23"/>
      <c r="O7" s="24"/>
      <c r="P7" s="25" t="s">
        <v>14</v>
      </c>
      <c r="Q7" s="26" t="n">
        <f aca="false">SUM(Q9:Q26)</f>
        <v>100</v>
      </c>
      <c r="R7" s="27" t="s">
        <v>15</v>
      </c>
    </row>
    <row r="8" customFormat="false" ht="33" hidden="false" customHeight="true" outlineLevel="0" collapsed="false">
      <c r="A8" s="0" t="s">
        <v>16</v>
      </c>
      <c r="B8" s="28"/>
      <c r="C8" s="29" t="s">
        <v>17</v>
      </c>
      <c r="D8" s="13" t="n">
        <v>1</v>
      </c>
      <c r="E8" s="13" t="n">
        <v>2</v>
      </c>
      <c r="F8" s="13" t="n">
        <v>3</v>
      </c>
      <c r="G8" s="13" t="n">
        <v>4</v>
      </c>
      <c r="H8" s="13" t="n">
        <v>5</v>
      </c>
      <c r="K8" s="30" t="n">
        <v>1</v>
      </c>
      <c r="L8" s="31" t="n">
        <v>2</v>
      </c>
      <c r="M8" s="31" t="n">
        <v>3</v>
      </c>
      <c r="N8" s="31" t="n">
        <v>4</v>
      </c>
      <c r="O8" s="32" t="n">
        <v>5</v>
      </c>
      <c r="P8" s="30" t="s">
        <v>18</v>
      </c>
      <c r="Q8" s="33" t="s">
        <v>19</v>
      </c>
      <c r="R8" s="34" t="s">
        <v>18</v>
      </c>
    </row>
    <row r="9" customFormat="false" ht="15" hidden="false" customHeight="false" outlineLevel="0" collapsed="false">
      <c r="A9" s="0" t="s">
        <v>20</v>
      </c>
      <c r="B9" s="18" t="s">
        <v>21</v>
      </c>
      <c r="C9" s="35" t="n">
        <v>1</v>
      </c>
      <c r="D9" s="36" t="s">
        <v>22</v>
      </c>
      <c r="E9" s="36" t="s">
        <v>23</v>
      </c>
      <c r="F9" s="36" t="s">
        <v>24</v>
      </c>
      <c r="G9" s="36" t="s">
        <v>25</v>
      </c>
      <c r="H9" s="18"/>
      <c r="K9" s="37" t="n">
        <v>100</v>
      </c>
      <c r="L9" s="38" t="n">
        <v>40</v>
      </c>
      <c r="M9" s="39" t="n">
        <v>2</v>
      </c>
      <c r="N9" s="39" t="n">
        <v>0</v>
      </c>
      <c r="O9" s="32" t="s">
        <v>26</v>
      </c>
      <c r="P9" s="30" t="n">
        <f aca="false">HLOOKUP(C9,K8:N9,2,FALSE())</f>
        <v>100</v>
      </c>
      <c r="Q9" s="40" t="n">
        <v>10</v>
      </c>
      <c r="R9" s="41" t="n">
        <f aca="false">Q9*P9/100</f>
        <v>10</v>
      </c>
      <c r="S9" s="42" t="s">
        <v>27</v>
      </c>
    </row>
    <row r="10" customFormat="false" ht="15" hidden="false" customHeight="false" outlineLevel="0" collapsed="false">
      <c r="B10" s="43" t="s">
        <v>28</v>
      </c>
      <c r="C10" s="44"/>
      <c r="D10" s="45"/>
      <c r="E10" s="45"/>
      <c r="F10" s="45"/>
      <c r="G10" s="45"/>
      <c r="H10" s="45"/>
      <c r="K10" s="30" t="n">
        <v>1</v>
      </c>
      <c r="L10" s="31" t="n">
        <v>2</v>
      </c>
      <c r="M10" s="31" t="n">
        <v>3</v>
      </c>
      <c r="N10" s="31" t="n">
        <v>4</v>
      </c>
      <c r="O10" s="32" t="n">
        <v>5</v>
      </c>
      <c r="P10" s="30"/>
      <c r="Q10" s="33"/>
      <c r="R10" s="33"/>
    </row>
    <row r="11" customFormat="false" ht="15" hidden="false" customHeight="false" outlineLevel="0" collapsed="false">
      <c r="A11" s="46" t="s">
        <v>20</v>
      </c>
      <c r="B11" s="18" t="s">
        <v>29</v>
      </c>
      <c r="C11" s="35" t="n">
        <v>2</v>
      </c>
      <c r="D11" s="47" t="s">
        <v>30</v>
      </c>
      <c r="E11" s="47" t="s">
        <v>31</v>
      </c>
      <c r="F11" s="47" t="s">
        <v>32</v>
      </c>
      <c r="G11" s="47" t="s">
        <v>33</v>
      </c>
      <c r="H11" s="45"/>
      <c r="K11" s="37" t="n">
        <v>100</v>
      </c>
      <c r="L11" s="38" t="n">
        <v>50</v>
      </c>
      <c r="M11" s="38" t="n">
        <v>25</v>
      </c>
      <c r="N11" s="38" t="n">
        <v>10</v>
      </c>
      <c r="O11" s="32" t="s">
        <v>26</v>
      </c>
      <c r="P11" s="30" t="n">
        <f aca="false">HLOOKUP(C11,K$10:N11,2,FALSE())</f>
        <v>50</v>
      </c>
      <c r="Q11" s="40" t="n">
        <v>5</v>
      </c>
      <c r="R11" s="41" t="n">
        <f aca="false">Q11*P11/100</f>
        <v>2.5</v>
      </c>
    </row>
    <row r="12" customFormat="false" ht="15" hidden="false" customHeight="false" outlineLevel="0" collapsed="false">
      <c r="A12" s="0" t="s">
        <v>20</v>
      </c>
      <c r="B12" s="18" t="s">
        <v>34</v>
      </c>
      <c r="C12" s="35" t="n">
        <v>2</v>
      </c>
      <c r="D12" s="47" t="s">
        <v>35</v>
      </c>
      <c r="E12" s="47" t="s">
        <v>36</v>
      </c>
      <c r="F12" s="47" t="s">
        <v>37</v>
      </c>
      <c r="G12" s="45"/>
      <c r="H12" s="45"/>
      <c r="K12" s="37" t="n">
        <v>100</v>
      </c>
      <c r="L12" s="38" t="n">
        <v>25</v>
      </c>
      <c r="M12" s="38" t="n">
        <v>0</v>
      </c>
      <c r="N12" s="38"/>
      <c r="O12" s="32" t="s">
        <v>26</v>
      </c>
      <c r="P12" s="30" t="n">
        <f aca="false">HLOOKUP(C12,K$10:M12,3,FALSE())</f>
        <v>25</v>
      </c>
      <c r="Q12" s="48" t="n">
        <v>10</v>
      </c>
      <c r="R12" s="41" t="n">
        <f aca="false">Q12*P12/100</f>
        <v>2.5</v>
      </c>
    </row>
    <row r="13" customFormat="false" ht="15" hidden="false" customHeight="false" outlineLevel="0" collapsed="false">
      <c r="A13" s="0" t="s">
        <v>38</v>
      </c>
      <c r="B13" s="18" t="s">
        <v>39</v>
      </c>
      <c r="C13" s="35" t="n">
        <v>5</v>
      </c>
      <c r="D13" s="47" t="s">
        <v>40</v>
      </c>
      <c r="E13" s="47" t="s">
        <v>41</v>
      </c>
      <c r="F13" s="47" t="s">
        <v>42</v>
      </c>
      <c r="G13" s="47" t="s">
        <v>43</v>
      </c>
      <c r="H13" s="47" t="s">
        <v>44</v>
      </c>
      <c r="K13" s="37" t="n">
        <v>100</v>
      </c>
      <c r="L13" s="38" t="n">
        <v>50</v>
      </c>
      <c r="M13" s="38" t="n">
        <v>20</v>
      </c>
      <c r="N13" s="39" t="n">
        <v>10</v>
      </c>
      <c r="O13" s="49" t="n">
        <v>0</v>
      </c>
      <c r="P13" s="30" t="n">
        <f aca="false">HLOOKUP(C13,K$10:O13,4,FALSE())</f>
        <v>0</v>
      </c>
      <c r="Q13" s="50" t="n">
        <v>20</v>
      </c>
      <c r="R13" s="41" t="n">
        <f aca="false">Q13*P13/100</f>
        <v>0</v>
      </c>
      <c r="S13" s="51" t="s">
        <v>45</v>
      </c>
    </row>
    <row r="14" customFormat="false" ht="30.75" hidden="false" customHeight="false" outlineLevel="0" collapsed="false">
      <c r="A14" s="52" t="s">
        <v>46</v>
      </c>
      <c r="B14" s="53" t="s">
        <v>47</v>
      </c>
      <c r="C14" s="35" t="n">
        <v>3</v>
      </c>
      <c r="D14" s="47" t="s">
        <v>48</v>
      </c>
      <c r="E14" s="47" t="s">
        <v>36</v>
      </c>
      <c r="F14" s="47" t="s">
        <v>37</v>
      </c>
      <c r="G14" s="45"/>
      <c r="H14" s="45"/>
      <c r="I14" s="52"/>
      <c r="J14" s="52"/>
      <c r="K14" s="54" t="n">
        <v>100</v>
      </c>
      <c r="L14" s="55" t="n">
        <v>50</v>
      </c>
      <c r="M14" s="55" t="n">
        <v>0</v>
      </c>
      <c r="N14" s="56"/>
      <c r="O14" s="57"/>
      <c r="P14" s="58" t="n">
        <f aca="false">HLOOKUP(C14,K$10:O14,4,FALSE())</f>
        <v>20</v>
      </c>
      <c r="Q14" s="59" t="n">
        <v>10</v>
      </c>
      <c r="R14" s="60" t="n">
        <f aca="false">Q14*P14/100</f>
        <v>2</v>
      </c>
    </row>
    <row r="15" customFormat="false" ht="30.75" hidden="false" customHeight="false" outlineLevel="0" collapsed="false">
      <c r="A15" s="0" t="s">
        <v>38</v>
      </c>
      <c r="B15" s="53" t="s">
        <v>49</v>
      </c>
      <c r="C15" s="35" t="n">
        <v>1</v>
      </c>
      <c r="D15" s="47" t="s">
        <v>50</v>
      </c>
      <c r="E15" s="47" t="s">
        <v>51</v>
      </c>
      <c r="F15" s="47" t="s">
        <v>52</v>
      </c>
      <c r="G15" s="45"/>
      <c r="H15" s="45"/>
      <c r="K15" s="37" t="n">
        <v>100</v>
      </c>
      <c r="L15" s="38" t="n">
        <v>75</v>
      </c>
      <c r="M15" s="39" t="n">
        <v>0</v>
      </c>
      <c r="N15" s="31"/>
      <c r="O15" s="32"/>
      <c r="P15" s="30" t="n">
        <f aca="false">HLOOKUP(C15,K$10:M15,6,FALSE())</f>
        <v>100</v>
      </c>
      <c r="Q15" s="50" t="n">
        <v>5</v>
      </c>
      <c r="R15" s="61" t="n">
        <f aca="false">Q15*P15/100</f>
        <v>5</v>
      </c>
      <c r="S15" s="51" t="s">
        <v>53</v>
      </c>
    </row>
    <row r="16" customFormat="false" ht="15" hidden="false" customHeight="false" outlineLevel="0" collapsed="false">
      <c r="A16" s="0" t="s">
        <v>38</v>
      </c>
      <c r="B16" s="18" t="s">
        <v>54</v>
      </c>
      <c r="C16" s="35" t="n">
        <v>1</v>
      </c>
      <c r="D16" s="47" t="s">
        <v>40</v>
      </c>
      <c r="E16" s="47" t="s">
        <v>55</v>
      </c>
      <c r="F16" s="47" t="s">
        <v>56</v>
      </c>
      <c r="G16" s="47" t="s">
        <v>57</v>
      </c>
      <c r="H16" s="45"/>
      <c r="K16" s="37" t="n">
        <v>100</v>
      </c>
      <c r="L16" s="38" t="n">
        <v>60</v>
      </c>
      <c r="M16" s="39" t="n">
        <v>0</v>
      </c>
      <c r="N16" s="39" t="n">
        <v>0</v>
      </c>
      <c r="O16" s="32"/>
      <c r="P16" s="30" t="n">
        <f aca="false">HLOOKUP(C16,K$10:M16,7,FALSE())</f>
        <v>100</v>
      </c>
      <c r="Q16" s="50" t="n">
        <v>5</v>
      </c>
      <c r="R16" s="41" t="n">
        <f aca="false">Q16*P16/100</f>
        <v>5</v>
      </c>
      <c r="S16" s="51" t="s">
        <v>58</v>
      </c>
    </row>
    <row r="17" customFormat="false" ht="15" hidden="true" customHeight="false" outlineLevel="0" collapsed="false">
      <c r="A17" s="62" t="s">
        <v>59</v>
      </c>
      <c r="B17" s="63" t="s">
        <v>60</v>
      </c>
      <c r="C17" s="64" t="n">
        <v>1</v>
      </c>
      <c r="D17" s="64" t="s">
        <v>35</v>
      </c>
      <c r="E17" s="64" t="s">
        <v>36</v>
      </c>
      <c r="F17" s="64" t="s">
        <v>37</v>
      </c>
      <c r="G17" s="65"/>
      <c r="H17" s="65"/>
      <c r="I17" s="62"/>
      <c r="J17" s="62"/>
      <c r="K17" s="66"/>
      <c r="L17" s="67"/>
      <c r="M17" s="67"/>
      <c r="N17" s="68"/>
      <c r="O17" s="69"/>
      <c r="P17" s="70"/>
      <c r="Q17" s="71"/>
      <c r="R17" s="72"/>
    </row>
    <row r="18" customFormat="false" ht="46.5" hidden="false" customHeight="false" outlineLevel="0" collapsed="false">
      <c r="A18" s="0" t="s">
        <v>61</v>
      </c>
      <c r="B18" s="73" t="s">
        <v>62</v>
      </c>
      <c r="C18" s="74" t="n">
        <v>2</v>
      </c>
      <c r="D18" s="75" t="s">
        <v>63</v>
      </c>
      <c r="E18" s="75" t="s">
        <v>64</v>
      </c>
      <c r="F18" s="76" t="s">
        <v>65</v>
      </c>
      <c r="G18" s="76" t="s">
        <v>66</v>
      </c>
      <c r="H18" s="45"/>
      <c r="K18" s="37" t="n">
        <v>100</v>
      </c>
      <c r="L18" s="38" t="n">
        <v>50</v>
      </c>
      <c r="M18" s="38" t="n">
        <v>25</v>
      </c>
      <c r="N18" s="38" t="n">
        <v>10</v>
      </c>
      <c r="O18" s="32" t="s">
        <v>26</v>
      </c>
      <c r="P18" s="30" t="n">
        <f aca="false">HLOOKUP(C18,K$10:N18,8,FALSE())</f>
        <v>0</v>
      </c>
      <c r="Q18" s="77" t="n">
        <v>3</v>
      </c>
      <c r="R18" s="41" t="n">
        <f aca="false">Q18*P18/100</f>
        <v>0</v>
      </c>
    </row>
    <row r="19" customFormat="false" ht="46.5" hidden="false" customHeight="false" outlineLevel="0" collapsed="false">
      <c r="A19" s="0" t="s">
        <v>67</v>
      </c>
      <c r="B19" s="73" t="s">
        <v>68</v>
      </c>
      <c r="C19" s="35" t="n">
        <v>3</v>
      </c>
      <c r="D19" s="76" t="s">
        <v>69</v>
      </c>
      <c r="E19" s="76" t="s">
        <v>70</v>
      </c>
      <c r="F19" s="76" t="s">
        <v>71</v>
      </c>
      <c r="G19" s="76" t="s">
        <v>72</v>
      </c>
      <c r="H19" s="45"/>
      <c r="J19" s="78" t="s">
        <v>73</v>
      </c>
      <c r="K19" s="37" t="n">
        <v>100</v>
      </c>
      <c r="L19" s="79" t="n">
        <v>40</v>
      </c>
      <c r="M19" s="79" t="n">
        <v>10</v>
      </c>
      <c r="N19" s="79" t="n">
        <v>0</v>
      </c>
      <c r="O19" s="32" t="s">
        <v>26</v>
      </c>
      <c r="P19" s="30" t="n">
        <f aca="false">HLOOKUP(C19,K$10:N19,9,FALSE())</f>
        <v>25</v>
      </c>
      <c r="Q19" s="40" t="n">
        <v>5</v>
      </c>
      <c r="R19" s="41" t="n">
        <f aca="false">Q19*P19/100</f>
        <v>1.25</v>
      </c>
      <c r="S19" s="42" t="s">
        <v>74</v>
      </c>
    </row>
    <row r="20" customFormat="false" ht="30.75" hidden="true" customHeight="false" outlineLevel="0" collapsed="false">
      <c r="A20" s="62" t="s">
        <v>59</v>
      </c>
      <c r="B20" s="80" t="s">
        <v>75</v>
      </c>
      <c r="C20" s="64" t="n">
        <v>1</v>
      </c>
      <c r="D20" s="81" t="s">
        <v>76</v>
      </c>
      <c r="E20" s="81" t="s">
        <v>77</v>
      </c>
      <c r="F20" s="82"/>
      <c r="G20" s="82"/>
      <c r="H20" s="65"/>
      <c r="I20" s="62"/>
      <c r="J20" s="83" t="s">
        <v>78</v>
      </c>
      <c r="K20" s="66" t="n">
        <v>100</v>
      </c>
      <c r="L20" s="67" t="n">
        <v>25</v>
      </c>
      <c r="M20" s="68" t="s">
        <v>26</v>
      </c>
      <c r="N20" s="68" t="s">
        <v>26</v>
      </c>
      <c r="O20" s="69" t="s">
        <v>26</v>
      </c>
      <c r="P20" s="70" t="n">
        <f aca="false">HLOOKUP(C20,K$10:L20,7,FALSE())</f>
        <v>100</v>
      </c>
      <c r="Q20" s="84"/>
      <c r="R20" s="72"/>
      <c r="S20" s="0" t="s">
        <v>79</v>
      </c>
    </row>
    <row r="21" customFormat="false" ht="15" hidden="false" customHeight="false" outlineLevel="0" collapsed="false">
      <c r="B21" s="85" t="s">
        <v>80</v>
      </c>
      <c r="C21" s="86"/>
      <c r="D21" s="87"/>
      <c r="E21" s="88"/>
      <c r="F21" s="89"/>
      <c r="G21" s="89"/>
      <c r="H21" s="89"/>
      <c r="J21" s="90"/>
      <c r="K21" s="91" t="n">
        <v>1</v>
      </c>
      <c r="L21" s="92" t="n">
        <v>2</v>
      </c>
      <c r="M21" s="31" t="n">
        <v>3</v>
      </c>
      <c r="N21" s="31" t="n">
        <v>4</v>
      </c>
      <c r="O21" s="32" t="n">
        <v>5</v>
      </c>
      <c r="P21" s="30"/>
      <c r="Q21" s="33"/>
      <c r="R21" s="33"/>
    </row>
    <row r="22" customFormat="false" ht="93" hidden="false" customHeight="false" outlineLevel="0" collapsed="false">
      <c r="A22" s="14" t="s">
        <v>20</v>
      </c>
      <c r="B22" s="93" t="s">
        <v>81</v>
      </c>
      <c r="C22" s="94" t="n">
        <v>2</v>
      </c>
      <c r="D22" s="75" t="s">
        <v>82</v>
      </c>
      <c r="E22" s="75" t="s">
        <v>83</v>
      </c>
      <c r="F22" s="75" t="s">
        <v>84</v>
      </c>
      <c r="G22" s="89"/>
      <c r="H22" s="89"/>
      <c r="J22" s="90"/>
      <c r="K22" s="37" t="n">
        <v>100</v>
      </c>
      <c r="L22" s="38" t="n">
        <v>50</v>
      </c>
      <c r="M22" s="38" t="n">
        <v>0</v>
      </c>
      <c r="N22" s="38"/>
      <c r="O22" s="95"/>
      <c r="P22" s="30" t="n">
        <f aca="false">HLOOKUP(C22,K$21:O22,2,FALSE())</f>
        <v>50</v>
      </c>
      <c r="Q22" s="50" t="n">
        <v>10</v>
      </c>
      <c r="R22" s="96" t="n">
        <f aca="false">Q22*P22/100</f>
        <v>5</v>
      </c>
    </row>
    <row r="23" customFormat="false" ht="30.75" hidden="false" customHeight="false" outlineLevel="0" collapsed="false">
      <c r="A23" s="0" t="s">
        <v>67</v>
      </c>
      <c r="B23" s="93" t="s">
        <v>85</v>
      </c>
      <c r="C23" s="35" t="n">
        <v>3</v>
      </c>
      <c r="D23" s="76" t="s">
        <v>86</v>
      </c>
      <c r="E23" s="76" t="s">
        <v>87</v>
      </c>
      <c r="F23" s="76" t="s">
        <v>88</v>
      </c>
      <c r="G23" s="76" t="s">
        <v>89</v>
      </c>
      <c r="H23" s="76" t="s">
        <v>90</v>
      </c>
      <c r="J23" s="90"/>
      <c r="K23" s="37" t="n">
        <v>100</v>
      </c>
      <c r="L23" s="38" t="n">
        <v>75</v>
      </c>
      <c r="M23" s="38" t="n">
        <v>25</v>
      </c>
      <c r="N23" s="38" t="n">
        <v>10</v>
      </c>
      <c r="O23" s="95" t="n">
        <v>0</v>
      </c>
      <c r="P23" s="30" t="n">
        <f aca="false">HLOOKUP(C23,K$21:O23,3,FALSE())</f>
        <v>25</v>
      </c>
      <c r="Q23" s="97" t="n">
        <v>4</v>
      </c>
      <c r="R23" s="41" t="n">
        <f aca="false">Q23*P23/100</f>
        <v>1</v>
      </c>
    </row>
    <row r="24" customFormat="false" ht="46.5" hidden="false" customHeight="false" outlineLevel="0" collapsed="false">
      <c r="A24" s="0" t="s">
        <v>20</v>
      </c>
      <c r="B24" s="93" t="s">
        <v>91</v>
      </c>
      <c r="C24" s="35" t="n">
        <v>3</v>
      </c>
      <c r="D24" s="76" t="s">
        <v>86</v>
      </c>
      <c r="E24" s="76" t="s">
        <v>87</v>
      </c>
      <c r="F24" s="76" t="s">
        <v>88</v>
      </c>
      <c r="G24" s="76" t="s">
        <v>89</v>
      </c>
      <c r="H24" s="76" t="s">
        <v>90</v>
      </c>
      <c r="J24" s="98" t="s">
        <v>92</v>
      </c>
      <c r="K24" s="37" t="n">
        <v>100</v>
      </c>
      <c r="L24" s="38" t="n">
        <v>75</v>
      </c>
      <c r="M24" s="38" t="n">
        <v>25</v>
      </c>
      <c r="N24" s="38" t="n">
        <v>10</v>
      </c>
      <c r="O24" s="95" t="n">
        <v>0</v>
      </c>
      <c r="P24" s="30" t="n">
        <f aca="false">HLOOKUP(C24,K$21:O24,4,FALSE())</f>
        <v>25</v>
      </c>
      <c r="Q24" s="40" t="n">
        <v>5</v>
      </c>
      <c r="R24" s="41" t="n">
        <f aca="false">Q24*P24/100</f>
        <v>1.25</v>
      </c>
    </row>
    <row r="25" customFormat="false" ht="30.75" hidden="false" customHeight="false" outlineLevel="0" collapsed="false">
      <c r="A25" s="0" t="s">
        <v>20</v>
      </c>
      <c r="B25" s="93" t="s">
        <v>93</v>
      </c>
      <c r="C25" s="35" t="n">
        <v>3</v>
      </c>
      <c r="D25" s="76" t="s">
        <v>86</v>
      </c>
      <c r="E25" s="76" t="s">
        <v>87</v>
      </c>
      <c r="F25" s="76" t="s">
        <v>88</v>
      </c>
      <c r="G25" s="76" t="s">
        <v>89</v>
      </c>
      <c r="H25" s="76" t="s">
        <v>90</v>
      </c>
      <c r="J25" s="90"/>
      <c r="K25" s="37" t="n">
        <v>100</v>
      </c>
      <c r="L25" s="38" t="n">
        <v>75</v>
      </c>
      <c r="M25" s="38" t="n">
        <v>25</v>
      </c>
      <c r="N25" s="38" t="n">
        <v>10</v>
      </c>
      <c r="O25" s="95" t="n">
        <v>0</v>
      </c>
      <c r="P25" s="30" t="n">
        <f aca="false">HLOOKUP(C25,K$21:O25,5,FALSE())</f>
        <v>25</v>
      </c>
      <c r="Q25" s="40" t="n">
        <v>5</v>
      </c>
      <c r="R25" s="41" t="n">
        <f aca="false">Q25*P25/100</f>
        <v>1.25</v>
      </c>
    </row>
    <row r="26" customFormat="false" ht="46.5" hidden="false" customHeight="false" outlineLevel="0" collapsed="false">
      <c r="A26" s="14" t="s">
        <v>20</v>
      </c>
      <c r="B26" s="93" t="s">
        <v>94</v>
      </c>
      <c r="C26" s="99" t="n">
        <v>4</v>
      </c>
      <c r="D26" s="76" t="s">
        <v>86</v>
      </c>
      <c r="E26" s="76" t="s">
        <v>87</v>
      </c>
      <c r="F26" s="76" t="s">
        <v>88</v>
      </c>
      <c r="G26" s="76" t="s">
        <v>89</v>
      </c>
      <c r="H26" s="76" t="s">
        <v>90</v>
      </c>
      <c r="J26" s="90" t="s">
        <v>95</v>
      </c>
      <c r="K26" s="37" t="n">
        <v>0</v>
      </c>
      <c r="L26" s="38" t="n">
        <v>10</v>
      </c>
      <c r="M26" s="38" t="n">
        <v>25</v>
      </c>
      <c r="N26" s="38" t="n">
        <v>50</v>
      </c>
      <c r="O26" s="95" t="n">
        <v>100</v>
      </c>
      <c r="P26" s="30" t="n">
        <f aca="false">HLOOKUP(C26,K$21:O26,6,FALSE())</f>
        <v>50</v>
      </c>
      <c r="Q26" s="33" t="n">
        <v>3</v>
      </c>
      <c r="R26" s="41" t="n">
        <f aca="false">Q26*P26/100</f>
        <v>1.5</v>
      </c>
      <c r="S26" s="0" t="s">
        <v>96</v>
      </c>
    </row>
    <row r="27" customFormat="false" ht="30.75" hidden="true" customHeight="false" outlineLevel="0" collapsed="false">
      <c r="A27" s="62" t="s">
        <v>59</v>
      </c>
      <c r="B27" s="100" t="s">
        <v>97</v>
      </c>
      <c r="C27" s="81" t="n">
        <v>1</v>
      </c>
      <c r="D27" s="81" t="s">
        <v>86</v>
      </c>
      <c r="E27" s="81" t="s">
        <v>87</v>
      </c>
      <c r="F27" s="81" t="s">
        <v>88</v>
      </c>
      <c r="G27" s="81" t="s">
        <v>89</v>
      </c>
      <c r="H27" s="81" t="s">
        <v>90</v>
      </c>
      <c r="I27" s="62"/>
    </row>
    <row r="28" customFormat="false" ht="62.25" hidden="true" customHeight="false" outlineLevel="0" collapsed="false">
      <c r="A28" s="62" t="s">
        <v>59</v>
      </c>
      <c r="B28" s="101" t="s">
        <v>98</v>
      </c>
      <c r="C28" s="64" t="n">
        <v>5</v>
      </c>
      <c r="D28" s="81" t="s">
        <v>86</v>
      </c>
      <c r="E28" s="81" t="s">
        <v>87</v>
      </c>
      <c r="F28" s="102" t="s">
        <v>88</v>
      </c>
      <c r="G28" s="81" t="s">
        <v>89</v>
      </c>
      <c r="H28" s="81" t="s">
        <v>90</v>
      </c>
      <c r="I28" s="62"/>
    </row>
    <row r="29" customFormat="false" ht="15.75" hidden="false" customHeight="false" outlineLevel="0" collapsed="false">
      <c r="B29" s="18"/>
      <c r="C29" s="45"/>
      <c r="D29" s="18"/>
      <c r="E29" s="18"/>
      <c r="F29" s="89" t="s">
        <v>99</v>
      </c>
      <c r="G29" s="18"/>
      <c r="H29" s="18"/>
    </row>
    <row r="30" customFormat="false" ht="18" hidden="false" customHeight="false" outlineLevel="0" collapsed="false">
      <c r="B30" s="14" t="s">
        <v>100</v>
      </c>
      <c r="C30" s="103"/>
      <c r="D30" s="1"/>
      <c r="E30" s="1"/>
      <c r="F30" s="1"/>
      <c r="G30" s="104" t="s">
        <v>101</v>
      </c>
      <c r="H30" s="105" t="n">
        <f aca="false">SUM(R9:R26)</f>
        <v>38.25</v>
      </c>
      <c r="I30" s="1"/>
    </row>
    <row r="31" customFormat="false" ht="14.25" hidden="false" customHeight="false" outlineLevel="0" collapsed="false">
      <c r="B31" s="0" t="s">
        <v>102</v>
      </c>
      <c r="D31" s="1"/>
      <c r="E31" s="1"/>
      <c r="F31" s="1"/>
    </row>
    <row r="32" customFormat="false" ht="14.25" hidden="false" customHeight="false" outlineLevel="0" collapsed="false">
      <c r="B32" s="0" t="s">
        <v>103</v>
      </c>
      <c r="D32" s="1"/>
      <c r="E32" s="1"/>
      <c r="F32" s="1"/>
      <c r="G32" s="1"/>
      <c r="H32" s="1"/>
      <c r="I32" s="1"/>
    </row>
    <row r="33" customFormat="false" ht="14.25" hidden="false" customHeight="false" outlineLevel="0" collapsed="false">
      <c r="B33" s="0" t="s">
        <v>104</v>
      </c>
      <c r="D33" s="1"/>
      <c r="E33" s="1"/>
      <c r="F33" s="1"/>
      <c r="G33" s="1"/>
      <c r="H33" s="1"/>
      <c r="I33" s="1"/>
    </row>
    <row r="34" customFormat="false" ht="14.25" hidden="false" customHeight="false" outlineLevel="0" collapsed="false">
      <c r="D34" s="1"/>
      <c r="E34" s="1"/>
      <c r="F34" s="1"/>
      <c r="G34" s="1"/>
      <c r="H34" s="1"/>
      <c r="I34" s="1"/>
    </row>
    <row r="35" customFormat="false" ht="14.25" hidden="false" customHeight="false" outlineLevel="0" collapsed="false">
      <c r="B35" s="0" t="s">
        <v>105</v>
      </c>
      <c r="D35" s="1"/>
      <c r="E35" s="1"/>
      <c r="F35" s="1"/>
      <c r="G35" s="1"/>
      <c r="H35" s="1"/>
      <c r="I35" s="1"/>
    </row>
    <row r="36" customFormat="false" ht="14.25" hidden="false" customHeight="false" outlineLevel="0" collapsed="false">
      <c r="B36" s="0" t="s">
        <v>106</v>
      </c>
      <c r="D36" s="1"/>
      <c r="E36" s="1"/>
      <c r="F36" s="1"/>
      <c r="G36" s="1"/>
    </row>
    <row r="37" customFormat="false" ht="14.25" hidden="false" customHeight="false" outlineLevel="0" collapsed="false">
      <c r="B37" s="0" t="s">
        <v>107</v>
      </c>
      <c r="D37" s="1"/>
      <c r="E37" s="1"/>
      <c r="F37" s="1"/>
      <c r="G37" s="1"/>
    </row>
    <row r="38" customFormat="false" ht="14.25" hidden="false" customHeight="false" outlineLevel="0" collapsed="false">
      <c r="B38" s="16" t="s">
        <v>108</v>
      </c>
      <c r="D38" s="1"/>
      <c r="E38" s="1"/>
      <c r="F38" s="1"/>
      <c r="G38" s="1"/>
    </row>
    <row r="39" customFormat="false" ht="14.25" hidden="false" customHeight="false" outlineLevel="0" collapsed="false">
      <c r="B39" s="16" t="s">
        <v>109</v>
      </c>
      <c r="D39" s="1"/>
      <c r="E39" s="1"/>
      <c r="F39" s="1"/>
      <c r="G39" s="1"/>
    </row>
    <row r="40" customFormat="false" ht="14.25" hidden="false" customHeight="false" outlineLevel="0" collapsed="false">
      <c r="D40" s="1"/>
      <c r="E40" s="1"/>
      <c r="F40" s="1"/>
      <c r="G40" s="1"/>
    </row>
    <row r="41" customFormat="false" ht="14.25" hidden="false" customHeight="false" outlineLevel="0" collapsed="false">
      <c r="D41" s="1"/>
      <c r="E41" s="1"/>
      <c r="F41" s="1"/>
      <c r="G41" s="1"/>
    </row>
    <row r="44" customFormat="false" ht="14.25" hidden="false" customHeight="false" outlineLevel="0" collapsed="false">
      <c r="B44" s="0" t="s">
        <v>110</v>
      </c>
    </row>
    <row r="45" customFormat="false" ht="14.25" hidden="false" customHeight="false" outlineLevel="0" collapsed="false">
      <c r="B45" s="0" t="s">
        <v>111</v>
      </c>
    </row>
    <row r="46" customFormat="false" ht="14.25" hidden="false" customHeight="false" outlineLevel="0" collapsed="false">
      <c r="B46" s="0" t="s">
        <v>112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45" zoomScaleNormal="145" zoomScalePageLayoutView="100" workbookViewId="0">
      <selection pane="topLeft" activeCell="C5" activeCellId="0" sqref="C5"/>
    </sheetView>
  </sheetViews>
  <sheetFormatPr defaultColWidth="8.61328125" defaultRowHeight="14.25" zeroHeight="false" outlineLevelRow="0" outlineLevelCol="0"/>
  <cols>
    <col collapsed="false" customWidth="true" hidden="false" outlineLevel="0" max="1" min="1" style="0" width="30.22"/>
    <col collapsed="false" customWidth="true" hidden="false" outlineLevel="0" max="3" min="2" style="0" width="39.22"/>
  </cols>
  <sheetData>
    <row r="1" customFormat="false" ht="14.25" hidden="false" customHeight="false" outlineLevel="0" collapsed="false">
      <c r="A1" s="90"/>
      <c r="B1" s="106" t="s">
        <v>113</v>
      </c>
      <c r="C1" s="107" t="s">
        <v>114</v>
      </c>
    </row>
    <row r="2" customFormat="false" ht="42.75" hidden="false" customHeight="false" outlineLevel="0" collapsed="false">
      <c r="A2" s="90" t="s">
        <v>115</v>
      </c>
      <c r="B2" s="108" t="s">
        <v>116</v>
      </c>
      <c r="C2" s="108" t="s">
        <v>117</v>
      </c>
    </row>
    <row r="3" customFormat="false" ht="72" hidden="false" customHeight="false" outlineLevel="0" collapsed="false">
      <c r="A3" s="90" t="s">
        <v>118</v>
      </c>
      <c r="B3" s="90" t="s">
        <v>119</v>
      </c>
      <c r="C3" s="108" t="s">
        <v>120</v>
      </c>
    </row>
    <row r="4" customFormat="false" ht="28.5" hidden="false" customHeight="false" outlineLevel="0" collapsed="false">
      <c r="A4" s="90" t="s">
        <v>121</v>
      </c>
      <c r="B4" s="90" t="s">
        <v>122</v>
      </c>
      <c r="C4" s="108" t="s">
        <v>123</v>
      </c>
    </row>
    <row r="5" customFormat="false" ht="72" hidden="false" customHeight="false" outlineLevel="0" collapsed="false">
      <c r="A5" s="90" t="s">
        <v>124</v>
      </c>
      <c r="B5" s="108" t="s">
        <v>125</v>
      </c>
      <c r="C5" s="108" t="s">
        <v>126</v>
      </c>
    </row>
    <row r="6" customFormat="false" ht="28.5" hidden="false" customHeight="false" outlineLevel="0" collapsed="false">
      <c r="A6" s="90" t="s">
        <v>127</v>
      </c>
      <c r="B6" s="108" t="s">
        <v>128</v>
      </c>
      <c r="C6" s="108" t="s">
        <v>129</v>
      </c>
    </row>
    <row r="8" customFormat="false" ht="57" hidden="false" customHeight="false" outlineLevel="0" collapsed="false">
      <c r="A8" s="90" t="s">
        <v>130</v>
      </c>
      <c r="B8" s="108" t="s">
        <v>131</v>
      </c>
      <c r="C8" s="108" t="s">
        <v>132</v>
      </c>
    </row>
    <row r="9" customFormat="false" ht="14.25" hidden="false" customHeight="false" outlineLevel="0" collapsed="false">
      <c r="A9" s="90"/>
      <c r="B9" s="90" t="s">
        <v>133</v>
      </c>
      <c r="C9" s="90" t="s">
        <v>134</v>
      </c>
    </row>
    <row r="10" customFormat="false" ht="14.25" hidden="false" customHeight="false" outlineLevel="0" collapsed="false">
      <c r="A10" s="90"/>
      <c r="B10" s="90" t="s">
        <v>135</v>
      </c>
      <c r="C10" s="9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LibreOffice/7.3.6.2$MacOSX_AARCH64 LibreOffice_project/c28ca90fd6e1a19e189fc16c05f8f8924961e12e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2022-02-17T18:21:24Z</dcterms:created>
  <dc:creator>Tom-Sue-3450</dc:creator>
  <dc:description/>
  <dc:language>en-US</dc:language>
  <cp:lastModifiedBy/>
  <cp:lastPrinted>2023-05-28T01:38:20Z</cp:lastPrinted>
  <dcterms:modified xsi:type="dcterms:W3CDTF">2026-07-23T22:03:09Z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